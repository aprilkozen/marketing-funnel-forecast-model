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QL forecast" sheetId="2" state="visible" r:id="rId4"/>
    <sheet name="SQL forecast" sheetId="3" state="visible" r:id="rId5"/>
    <sheet name="Methodolo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<sst xmlns="http://schemas.openxmlformats.org/spreadsheetml/2006/main" count="135" uniqueCount="78">
  <si>
    <t xml:space="preserve">FULL-FUNNEL MARKETING FORECAST — 2026 SUMMARY</t>
  </si>
  <si>
    <t xml:space="preserve">Seasonality-weighted forecast across MQL and SQL stages, by channel and quarter</t>
  </si>
  <si>
    <t xml:space="preserve">Funnel Stage</t>
  </si>
  <si>
    <t xml:space="preserve">Q1</t>
  </si>
  <si>
    <t xml:space="preserve">Q2</t>
  </si>
  <si>
    <t xml:space="preserve">Q3</t>
  </si>
  <si>
    <t xml:space="preserve">Q4</t>
  </si>
  <si>
    <t xml:space="preserve">FY Total</t>
  </si>
  <si>
    <t xml:space="preserve">MQLs</t>
  </si>
  <si>
    <t xml:space="preserve">SQLs</t>
  </si>
  <si>
    <t xml:space="preserve">MQL→SQL rate</t>
  </si>
  <si>
    <t xml:space="preserve">KEY ASSUMPTIONS</t>
  </si>
  <si>
    <t xml:space="preserve">Avg SQL → Opp conversion</t>
  </si>
  <si>
    <t xml:space="preserve">Avg Opp → Closed-Won</t>
  </si>
  <si>
    <t xml:space="preserve">Avg ACV ($)</t>
  </si>
  <si>
    <t xml:space="preserve">Blended CAC target ($)</t>
  </si>
  <si>
    <t xml:space="preserve">MODELED OUTPUT</t>
  </si>
  <si>
    <t xml:space="preserve">Forecast Opps (FY)</t>
  </si>
  <si>
    <t xml:space="preserve">Forecast Closed-Won (FY)</t>
  </si>
  <si>
    <t xml:space="preserve">Forecast New ACV ($)</t>
  </si>
  <si>
    <t xml:space="preserve">MARKETING FUNNEL FORECAST MODEL — MQLs</t>
  </si>
  <si>
    <t xml:space="preserve">Channel / Segment</t>
  </si>
  <si>
    <t xml:space="preserve">Total</t>
  </si>
  <si>
    <t xml:space="preserve">Web (organic traffic)</t>
  </si>
  <si>
    <t xml:space="preserve">  Mid-Market</t>
  </si>
  <si>
    <t xml:space="preserve">  Enterprise</t>
  </si>
  <si>
    <t xml:space="preserve">Nurture (email)</t>
  </si>
  <si>
    <t xml:space="preserve">Paid</t>
  </si>
  <si>
    <t xml:space="preserve">Conferences</t>
  </si>
  <si>
    <t xml:space="preserve">SEASONALITY BASIS — Web Sessions by Month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</si>
  <si>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</si>
  <si>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</si>
  <si>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</si>
  <si>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</si>
  <si>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</si>
  <si>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</si>
  <si>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June</t>
  </si>
  <si>
    <t xml:space="preserve">Jul</t>
  </si>
  <si>
    <t xml:space="preserve">Aug</t>
  </si>
  <si>
    <t xml:space="preserve">Sept</t>
  </si>
  <si>
    <t xml:space="preserve">Oct</t>
  </si>
  <si>
    <t xml:space="preserve">Nov</t>
  </si>
  <si>
    <t xml:space="preserve">Dec</t>
  </si>
  <si>
    <t xml:space="preserve">Web sessions</t>
  </si>
  <si>
    <t xml:space="preserve">% of quarter</t>
  </si>
  <si>
    <t xml:space="preserve">Forecast MQLs</t>
  </si>
  <si>
    <t xml:space="preserve">GOAL vs ACTUAL BY CHANNEL — Q1 MQLs</t>
  </si>
  <si>
    <t xml:space="preserve">Web</t>
  </si>
  <si>
    <t xml:space="preserve">Nurture</t>
  </si>
  <si>
    <t xml:space="preserve">Jan: actual</t>
  </si>
  <si>
    <t xml:space="preserve">Jan: goal</t>
  </si>
  <si>
    <t xml:space="preserve">Feb: actual</t>
  </si>
  <si>
    <t xml:space="preserve">Feb: goal</t>
  </si>
  <si>
    <t xml:space="preserve">Mar: actual</t>
  </si>
  <si>
    <t xml:space="preserve">Mar: goal</t>
  </si>
  <si>
    <t xml:space="preserve">Q1 gap (actual - goal)</t>
  </si>
  <si>
    <t xml:space="preserve">MARKETING FUNNEL FORECAST MODEL — SQLs</t>
  </si>
  <si>
    <t xml:space="preserve">Forecast SQLs</t>
  </si>
  <si>
    <t xml:space="preserve">METHODOLOGY &amp; NOTES</t>
  </si>
  <si>
    <t xml:space="preserve">PURPOSE</t>
  </si>
  <si>
    <t xml:space="preserve">A full-funnel marketing forecast model that projects MQLs and SQLs by channel and quarter,</t>
  </si>
  <si>
    <t xml:space="preserve">then flows them through to modeled pipeline and new ACV. Built as a demonstration of forecasting</t>
  </si>
  <si>
    <t xml:space="preserve">and dashboard methodology. All figures are synthetic and illustrative.</t>
  </si>
  <si>
    <t xml:space="preserve">APPROACH</t>
  </si>
  <si>
    <t xml:space="preserve">1. Channel-level quarterly targets are set for each acquisition source (Web/organic, Nurture, Paid, Conferences),</t>
  </si>
  <si>
    <t xml:space="preserve">   split by segment (Mid-Market, Enterprise).</t>
  </si>
  <si>
    <t xml:space="preserve">2. Monthly phasing is driven by seasonality: each month is weighted by its share of quarterly web-session volume,</t>
  </si>
  <si>
    <t xml:space="preserve">   so forecasts track real demand patterns rather than dividing evenly by three.</t>
  </si>
  <si>
    <t xml:space="preserve">3. Quarterly channel totals are distributed across months using those seasonality weights.</t>
  </si>
  <si>
    <t xml:space="preserve">4. A goal-vs-actual layer tracks performance against plan by channel, surfacing gaps for reallocation.</t>
  </si>
  <si>
    <t xml:space="preserve">5. The dashboard rolls MQL and SQL forecasts into modeled Opps, Closed-Won, and New ACV via conversion assumptions.</t>
  </si>
  <si>
    <t xml:space="preserve">HOW TO USE</t>
  </si>
  <si>
    <t xml:space="preserve">- Blue cells are inputs — change them to run scenarios.</t>
  </si>
  <si>
    <t xml:space="preserve">- Black cells are formulas — do not overwrite.</t>
  </si>
  <si>
    <t xml:space="preserve">- Green cells on the Dashboard link to the forecast sheets.</t>
  </si>
  <si>
    <t xml:space="preserve">- Yellow/highlighted cells are the key assumptions driving modeled output.</t>
  </si>
  <si>
    <t xml:space="preserve">NOTE</t>
  </si>
  <si>
    <t xml:space="preserve">This is a sanitized demonstration model. Figures do not represent any company's actual data.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</si>
</sst>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#,##0"/>
    <numFmt numFmtId="168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'MQL forecast'!B16</f>
        <v>1545</v>
      </c>
      <c r="C5" s="5" t="n">
        <f aca="false">'MQL forecast'!C16</f>
        <v>2335</v>
      </c>
      <c r="D5" s="5" t="n">
        <f aca="false">'MQL forecast'!D16</f>
        <v>5370</v>
      </c>
      <c r="E5" s="5" t="n">
        <f aca="false">'MQL forecast'!E16</f>
        <v>3200</v>
      </c>
      <c r="F5" s="6" t="n">
        <f aca="false">SUM(B5:E5)</f>
        <v>12450</v>
      </c>
    </row>
    <row r="6" customFormat="false" ht="15" hidden="false" customHeight="false" outlineLevel="0" collapsed="false">
      <c r="A6" s="4" t="s">
        <v>9</v>
      </c>
      <c r="B6" s="5" t="n">
        <f aca="false">'SQL forecast'!B16</f>
        <v>404</v>
      </c>
      <c r="C6" s="5" t="n">
        <f aca="false">'SQL forecast'!C16</f>
        <v>315</v>
      </c>
      <c r="D6" s="5" t="n">
        <f aca="false">'SQL forecast'!D16</f>
        <v>802</v>
      </c>
      <c r="E6" s="5" t="n">
        <f aca="false">'SQL forecast'!E16</f>
        <v>460</v>
      </c>
      <c r="F6" s="6" t="n">
        <f aca="false">SUM(B6:E6)</f>
        <v>1981</v>
      </c>
    </row>
    <row r="7" customFormat="false" ht="15" hidden="false" customHeight="false" outlineLevel="0" collapsed="false">
      <c r="A7" s="4" t="s">
        <v>10</v>
      </c>
      <c r="B7" s="7" t="n">
        <f aca="false">B6/B5</f>
        <v>0.261488673139159</v>
      </c>
      <c r="C7" s="7" t="n">
        <f aca="false">C6/C5</f>
        <v>0.134903640256959</v>
      </c>
      <c r="D7" s="7" t="n">
        <f aca="false">D6/D5</f>
        <v>0.149348230912477</v>
      </c>
      <c r="E7" s="7" t="n">
        <f aca="false">E6/E5</f>
        <v>0.14375</v>
      </c>
      <c r="F7" s="7" t="n">
        <f aca="false">F6/F5</f>
        <v>0.159116465863454</v>
      </c>
    </row>
    <row r="9" customFormat="false" ht="15" hidden="false" customHeight="false" outlineLevel="0" collapsed="false">
      <c r="A9" s="8" t="s">
        <v>11</v>
      </c>
    </row>
    <row r="10" customFormat="false" ht="15" hidden="false" customHeight="false" outlineLevel="0" collapsed="false">
      <c r="A10" s="9" t="s">
        <v>12</v>
      </c>
      <c r="B10" s="10" t="n">
        <v>0.35</v>
      </c>
    </row>
    <row r="11" customFormat="false" ht="15" hidden="false" customHeight="false" outlineLevel="0" collapsed="false">
      <c r="A11" s="9" t="s">
        <v>13</v>
      </c>
      <c r="B11" s="10" t="n">
        <v>0.22</v>
      </c>
    </row>
    <row r="12" customFormat="false" ht="15" hidden="false" customHeight="false" outlineLevel="0" collapsed="false">
      <c r="A12" s="9" t="s">
        <v>14</v>
      </c>
      <c r="B12" s="11" t="n">
        <v>42000</v>
      </c>
    </row>
    <row r="13" customFormat="false" ht="15" hidden="false" customHeight="false" outlineLevel="0" collapsed="false">
      <c r="A13" s="9" t="s">
        <v>15</v>
      </c>
      <c r="B13" s="11" t="n">
        <v>9500</v>
      </c>
    </row>
    <row r="15" customFormat="false" ht="15" hidden="false" customHeight="false" outlineLevel="0" collapsed="false">
      <c r="A15" s="8" t="s">
        <v>16</v>
      </c>
    </row>
    <row r="16" customFormat="false" ht="15" hidden="false" customHeight="false" outlineLevel="0" collapsed="false">
      <c r="A16" s="4" t="s">
        <v>17</v>
      </c>
      <c r="B16" s="6" t="n">
        <f aca="false">F6*B10</f>
        <v>693.35</v>
      </c>
    </row>
    <row r="17" customFormat="false" ht="15" hidden="false" customHeight="false" outlineLevel="0" collapsed="false">
      <c r="A17" s="4" t="s">
        <v>18</v>
      </c>
      <c r="B17" s="6" t="n">
        <f aca="false">B16*B11</f>
        <v>152.537</v>
      </c>
    </row>
    <row r="18" customFormat="false" ht="15" hidden="false" customHeight="false" outlineLevel="0" collapsed="false">
      <c r="A18" s="4" t="s">
        <v>19</v>
      </c>
      <c r="B18" s="12" t="n">
        <f aca="false">B17*B12</f>
        <v>6406554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1"/>
  </cols>
  <sheetData>
    <row r="1" customFormat="false" ht="15" hidden="false" customHeight="false" outlineLevel="0" collapsed="false">
      <c r="A1" s="13" t="s">
        <v>20</v>
      </c>
      <c r="B1" s="13"/>
      <c r="C1" s="13"/>
      <c r="D1" s="13"/>
      <c r="E1" s="13"/>
      <c r="F1" s="13"/>
    </row>
    <row r="3" customFormat="false" ht="15" hidden="false" customHeight="false" outlineLevel="0" collapsed="false">
      <c r="A3" s="3" t="s">
        <v>21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22</v>
      </c>
    </row>
    <row r="4" customFormat="false" ht="15" hidden="false" customHeight="false" outlineLevel="0" collapsed="false">
      <c r="A4" s="4" t="s">
        <v>23</v>
      </c>
      <c r="B4" s="14" t="n">
        <v>2600</v>
      </c>
      <c r="C4" s="14" t="n">
        <v>3400</v>
      </c>
      <c r="D4" s="14" t="n">
        <v>2750</v>
      </c>
      <c r="E4" s="14" t="n">
        <v>3150</v>
      </c>
      <c r="F4" s="6" t="n">
        <f aca="false">SUM(B4:E4)</f>
        <v>11900</v>
      </c>
    </row>
    <row r="5" customFormat="false" ht="15" hidden="false" customHeight="false" outlineLevel="0" collapsed="false">
      <c r="A5" s="9" t="s">
        <v>24</v>
      </c>
      <c r="B5" s="14" t="n">
        <v>950</v>
      </c>
      <c r="C5" s="14" t="n">
        <v>1750</v>
      </c>
      <c r="D5" s="14" t="n">
        <v>1600</v>
      </c>
      <c r="E5" s="14" t="n">
        <v>1900</v>
      </c>
      <c r="F5" s="6" t="n">
        <f aca="false">SUM(B5:E5)</f>
        <v>6200</v>
      </c>
    </row>
    <row r="6" customFormat="false" ht="15" hidden="false" customHeight="false" outlineLevel="0" collapsed="false">
      <c r="A6" s="9" t="s">
        <v>25</v>
      </c>
      <c r="B6" s="14" t="n">
        <v>1650</v>
      </c>
      <c r="C6" s="14" t="n">
        <v>1650</v>
      </c>
      <c r="D6" s="14" t="n">
        <v>1150</v>
      </c>
      <c r="E6" s="14" t="n">
        <v>1250</v>
      </c>
      <c r="F6" s="6" t="n">
        <f aca="false">SUM(B6:E6)</f>
        <v>5700</v>
      </c>
    </row>
    <row r="7" customFormat="false" ht="15" hidden="false" customHeight="false" outlineLevel="0" collapsed="false">
      <c r="A7" s="4" t="s">
        <v>26</v>
      </c>
      <c r="B7" s="14" t="n">
        <v>300</v>
      </c>
      <c r="C7" s="14" t="n">
        <v>640</v>
      </c>
      <c r="D7" s="14" t="n">
        <v>950</v>
      </c>
      <c r="E7" s="14" t="n">
        <v>1180</v>
      </c>
      <c r="F7" s="6" t="n">
        <f aca="false">SUM(B7:E7)</f>
        <v>3070</v>
      </c>
    </row>
    <row r="8" customFormat="false" ht="15" hidden="false" customHeight="false" outlineLevel="0" collapsed="false">
      <c r="A8" s="9" t="s">
        <v>24</v>
      </c>
      <c r="B8" s="14" t="n">
        <v>155</v>
      </c>
      <c r="C8" s="14" t="n">
        <v>250</v>
      </c>
      <c r="D8" s="14" t="n">
        <v>360</v>
      </c>
      <c r="E8" s="14" t="n">
        <v>470</v>
      </c>
      <c r="F8" s="6" t="n">
        <f aca="false">SUM(B8:E8)</f>
        <v>1235</v>
      </c>
    </row>
    <row r="9" customFormat="false" ht="15" hidden="false" customHeight="false" outlineLevel="0" collapsed="false">
      <c r="A9" s="9" t="s">
        <v>25</v>
      </c>
      <c r="B9" s="14" t="n">
        <v>145</v>
      </c>
      <c r="C9" s="14" t="n">
        <v>390</v>
      </c>
      <c r="D9" s="14" t="n">
        <v>590</v>
      </c>
      <c r="E9" s="14" t="n">
        <v>710</v>
      </c>
      <c r="F9" s="6" t="n">
        <f aca="false">SUM(B9:E9)</f>
        <v>1835</v>
      </c>
    </row>
    <row r="10" customFormat="false" ht="15" hidden="false" customHeight="false" outlineLevel="0" collapsed="false">
      <c r="A10" s="4" t="s">
        <v>27</v>
      </c>
      <c r="B10" s="14" t="n">
        <v>740</v>
      </c>
      <c r="C10" s="14" t="n">
        <v>860</v>
      </c>
      <c r="D10" s="14" t="n">
        <v>890</v>
      </c>
      <c r="E10" s="14" t="n">
        <v>760</v>
      </c>
      <c r="F10" s="6" t="n">
        <f aca="false">SUM(B10:E10)</f>
        <v>3250</v>
      </c>
    </row>
    <row r="11" customFormat="false" ht="15" hidden="false" customHeight="false" outlineLevel="0" collapsed="false">
      <c r="A11" s="9" t="s">
        <v>24</v>
      </c>
      <c r="B11" s="14" t="n">
        <v>440</v>
      </c>
      <c r="C11" s="14" t="n">
        <v>300</v>
      </c>
      <c r="D11" s="14" t="n">
        <v>640</v>
      </c>
      <c r="E11" s="14" t="n">
        <v>350</v>
      </c>
      <c r="F11" s="6" t="n">
        <f aca="false">SUM(B11:E11)</f>
        <v>1730</v>
      </c>
    </row>
    <row r="12" customFormat="false" ht="15" hidden="false" customHeight="false" outlineLevel="0" collapsed="false">
      <c r="A12" s="9" t="s">
        <v>25</v>
      </c>
      <c r="B12" s="14" t="n">
        <v>300</v>
      </c>
      <c r="C12" s="14" t="n">
        <v>560</v>
      </c>
      <c r="D12" s="14" t="n">
        <v>250</v>
      </c>
      <c r="E12" s="14" t="n">
        <v>410</v>
      </c>
      <c r="F12" s="6" t="n">
        <f aca="false">SUM(B12:E12)</f>
        <v>1520</v>
      </c>
    </row>
    <row r="13" customFormat="false" ht="15" hidden="false" customHeight="false" outlineLevel="0" collapsed="false">
      <c r="A13" s="4" t="s">
        <v>28</v>
      </c>
      <c r="B13" s="14" t="n">
        <v>175</v>
      </c>
      <c r="C13" s="14" t="n">
        <v>85</v>
      </c>
      <c r="D13" s="14" t="n">
        <v>2850</v>
      </c>
      <c r="E13" s="14" t="n">
        <v>480</v>
      </c>
      <c r="F13" s="6" t="n">
        <f aca="false">SUM(B13:E13)</f>
        <v>3590</v>
      </c>
    </row>
    <row r="14" customFormat="false" ht="15" hidden="false" customHeight="false" outlineLevel="0" collapsed="false">
      <c r="A14" s="9" t="s">
        <v>24</v>
      </c>
      <c r="B14" s="14" t="n">
        <v>0</v>
      </c>
      <c r="C14" s="14" t="n">
        <v>35</v>
      </c>
      <c r="D14" s="14" t="n">
        <v>2770</v>
      </c>
      <c r="E14" s="14" t="n">
        <v>480</v>
      </c>
      <c r="F14" s="6" t="n">
        <f aca="false">SUM(B14:E14)</f>
        <v>3285</v>
      </c>
    </row>
    <row r="15" customFormat="false" ht="15" hidden="false" customHeight="false" outlineLevel="0" collapsed="false">
      <c r="A15" s="9" t="s">
        <v>25</v>
      </c>
      <c r="B15" s="14" t="n">
        <v>175</v>
      </c>
      <c r="C15" s="14" t="n">
        <v>50</v>
      </c>
      <c r="D15" s="14" t="n">
        <v>80</v>
      </c>
      <c r="E15" s="14" t="n">
        <v>0</v>
      </c>
      <c r="F15" s="6" t="n">
        <f aca="false">SUM(B15:E15)</f>
        <v>305</v>
      </c>
    </row>
    <row r="16" customFormat="false" ht="15" hidden="false" customHeight="false" outlineLevel="0" collapsed="false">
      <c r="A16" s="15" t="s">
        <v>22</v>
      </c>
      <c r="B16" s="16" t="n">
        <f aca="false">SUM(B14,B11,B8,B5)</f>
        <v>1545</v>
      </c>
      <c r="C16" s="16" t="n">
        <f aca="false">SUM(C14,C11,C8,C5)</f>
        <v>2335</v>
      </c>
      <c r="D16" s="16" t="n">
        <f aca="false">SUM(D14,D11,D8,D5)</f>
        <v>5370</v>
      </c>
      <c r="E16" s="16" t="n">
        <f aca="false">SUM(E14,E11,E8,E5)</f>
        <v>3200</v>
      </c>
      <c r="F16" s="16" t="n">
        <f aca="false">SUM(F14,F11,F8,F5)</f>
        <v>12450</v>
      </c>
    </row>
    <row r="19" customFormat="false" ht="15" hidden="false" customHeight="false" outlineLevel="0" collapsed="false">
      <c r="A19" s="8" t="s">
        <v>29</v>
      </c>
    </row>
    <row r="20" customFormat="false" ht="15" hidden="false" customHeight="false" outlineLevel="0" collapsed="false">
      <c r="A20" s="9"/>
      <c r="B20" s="17" t="s">
        <v>3</v>
      </c>
      <c r="E20" s="17" t="s">
        <v>4</v>
      </c>
      <c r="H20" s="17" t="s">
        <v>5</v>
      </c>
      <c r="K20" s="17" t="s">
        <v>6</v>
      </c>
    </row>
    <row r="21" customFormat="false" ht="15" hidden="false" customHeight="false" outlineLevel="0" collapsed="false">
      <c r="A21" s="4" t="s">
        <v>30</v>
      </c>
      <c r="B21" s="18" t="s">
        <v>31</v>
      </c>
      <c r="C21" s="18" t="s">
        <v>32</v>
      </c>
      <c r="D21" s="18" t="s">
        <v>33</v>
      </c>
      <c r="E21" s="18" t="s">
        <v>34</v>
      </c>
      <c r="F21" s="18" t="s">
        <v>35</v>
      </c>
      <c r="G21" s="18" t="s">
        <v>36</v>
      </c>
      <c r="H21" s="18" t="s">
        <v>37</v>
      </c>
      <c r="I21" s="18" t="s">
        <v>38</v>
      </c>
      <c r="J21" s="18" t="s">
        <v>39</v>
      </c>
      <c r="K21" s="18" t="s">
        <v>40</v>
      </c>
      <c r="L21" s="18" t="s">
        <v>41</v>
      </c>
      <c r="M21" s="18" t="s">
        <v>42</v>
      </c>
    </row>
    <row r="22" customFormat="false" ht="15" hidden="false" customHeight="false" outlineLevel="0" collapsed="false">
      <c r="A22" s="9" t="s">
        <v>43</v>
      </c>
      <c r="B22" s="14" t="n">
        <v>1980000</v>
      </c>
      <c r="C22" s="14" t="n">
        <v>2110000</v>
      </c>
      <c r="D22" s="14" t="n">
        <v>2560000</v>
      </c>
      <c r="E22" s="14" t="n">
        <v>2540000</v>
      </c>
      <c r="F22" s="14" t="n">
        <v>2450000</v>
      </c>
      <c r="G22" s="14" t="n">
        <v>1700000</v>
      </c>
      <c r="H22" s="14" t="n">
        <v>1680000</v>
      </c>
      <c r="I22" s="14" t="n">
        <v>1615000</v>
      </c>
      <c r="J22" s="14" t="n">
        <v>2225000</v>
      </c>
      <c r="K22" s="14" t="n">
        <v>3125000</v>
      </c>
      <c r="L22" s="14" t="n">
        <v>3425000</v>
      </c>
      <c r="M22" s="14" t="n">
        <v>2745000</v>
      </c>
    </row>
    <row r="23" customFormat="false" ht="15" hidden="false" customHeight="false" outlineLevel="0" collapsed="false">
      <c r="A23" s="9" t="s">
        <v>44</v>
      </c>
      <c r="B23" s="7" t="n">
        <f aca="false">B22/SUM(B22:D22)</f>
        <v>0.297744360902256</v>
      </c>
      <c r="C23" s="7" t="n">
        <f aca="false">C22/SUM(B22:D22)</f>
        <v>0.317293233082707</v>
      </c>
      <c r="D23" s="7" t="n">
        <f aca="false">D22/SUM(B22:D22)</f>
        <v>0.384962406015038</v>
      </c>
      <c r="E23" s="7" t="n">
        <f aca="false">E22/SUM(E22:G22)</f>
        <v>0.379671150971599</v>
      </c>
      <c r="F23" s="7" t="n">
        <f aca="false">F22/SUM(E22:G22)</f>
        <v>0.366218236173393</v>
      </c>
      <c r="G23" s="7" t="n">
        <f aca="false">G22/SUM(E22:G22)</f>
        <v>0.254110612855007</v>
      </c>
      <c r="H23" s="7" t="n">
        <f aca="false">H22/SUM(H22:J22)</f>
        <v>0.304347826086957</v>
      </c>
      <c r="I23" s="7" t="n">
        <f aca="false">I22/SUM(H22:J22)</f>
        <v>0.292572463768116</v>
      </c>
      <c r="J23" s="7" t="n">
        <f aca="false">J22/SUM(H22:J22)</f>
        <v>0.403079710144928</v>
      </c>
      <c r="K23" s="7" t="n">
        <f aca="false">K22/SUM(K22:M22)</f>
        <v>0.336202259279182</v>
      </c>
      <c r="L23" s="7" t="n">
        <f aca="false">L22/SUM(K22:M22)</f>
        <v>0.368477676169984</v>
      </c>
      <c r="M23" s="7" t="n">
        <f aca="false">M22/SUM(K22:M22)</f>
        <v>0.295320064550834</v>
      </c>
    </row>
    <row r="24" customFormat="false" ht="15" hidden="false" customHeight="false" outlineLevel="0" collapsed="false">
      <c r="A24" s="4" t="s">
        <v>45</v>
      </c>
      <c r="B24" s="19" t="n">
        <f aca="false">$B$16*B23</f>
        <v>460.015037593985</v>
      </c>
      <c r="C24" s="19" t="n">
        <f aca="false">$B$16*C23</f>
        <v>490.218045112782</v>
      </c>
      <c r="D24" s="19" t="n">
        <f aca="false">$B$16*D23</f>
        <v>594.766917293233</v>
      </c>
      <c r="E24" s="19" t="n">
        <f aca="false">$C$16*E23</f>
        <v>886.532137518685</v>
      </c>
      <c r="F24" s="19" t="n">
        <f aca="false">$C$16*F23</f>
        <v>855.119581464873</v>
      </c>
      <c r="G24" s="19" t="n">
        <f aca="false">$C$16*G23</f>
        <v>593.348281016443</v>
      </c>
      <c r="H24" s="19" t="n">
        <f aca="false">$D$16*H23</f>
        <v>1634.34782608696</v>
      </c>
      <c r="I24" s="19" t="n">
        <f aca="false">$D$16*I23</f>
        <v>1571.11413043478</v>
      </c>
      <c r="J24" s="19" t="n">
        <f aca="false">$D$16*J23</f>
        <v>2164.53804347826</v>
      </c>
      <c r="K24" s="19" t="n">
        <f aca="false">$E$16*K23</f>
        <v>1075.84722969338</v>
      </c>
      <c r="L24" s="19" t="n">
        <f aca="false">$E$16*L23</f>
        <v>1179.12856374395</v>
      </c>
      <c r="M24" s="19" t="n">
        <f aca="false">$E$16*M23</f>
        <v>945.024206562668</v>
      </c>
    </row>
    <row r="27" customFormat="false" ht="15" hidden="false" customHeight="false" outlineLevel="0" collapsed="false">
      <c r="A27" s="8" t="s">
        <v>46</v>
      </c>
    </row>
    <row r="28" customFormat="false" ht="15" hidden="false" customHeight="false" outlineLevel="0" collapsed="false">
      <c r="A28" s="3"/>
      <c r="B28" s="3" t="s">
        <v>47</v>
      </c>
      <c r="C28" s="3" t="s">
        <v>48</v>
      </c>
      <c r="D28" s="3" t="s">
        <v>27</v>
      </c>
      <c r="E28" s="3" t="s">
        <v>28</v>
      </c>
      <c r="F28" s="3" t="s">
        <v>22</v>
      </c>
    </row>
    <row r="29" customFormat="false" ht="15" hidden="false" customHeight="false" outlineLevel="0" collapsed="false">
      <c r="A29" s="9" t="s">
        <v>49</v>
      </c>
      <c r="B29" s="14" t="n">
        <v>1700</v>
      </c>
      <c r="C29" s="14" t="n">
        <v>28</v>
      </c>
      <c r="D29" s="14" t="n">
        <v>215</v>
      </c>
      <c r="E29" s="14" t="n">
        <v>0</v>
      </c>
      <c r="F29" s="6" t="n">
        <f aca="false">SUM(B29:E29)</f>
        <v>1943</v>
      </c>
    </row>
    <row r="30" customFormat="false" ht="15" hidden="false" customHeight="false" outlineLevel="0" collapsed="false">
      <c r="A30" s="4" t="s">
        <v>50</v>
      </c>
      <c r="B30" s="14" t="n">
        <v>790</v>
      </c>
      <c r="C30" s="14" t="n">
        <v>90</v>
      </c>
      <c r="D30" s="14" t="n">
        <v>225</v>
      </c>
      <c r="E30" s="14" t="n">
        <v>52</v>
      </c>
      <c r="F30" s="6" t="n">
        <f aca="false">SUM(B30:E30)</f>
        <v>1157</v>
      </c>
    </row>
    <row r="31" customFormat="false" ht="15" hidden="false" customHeight="false" outlineLevel="0" collapsed="false">
      <c r="A31" s="9" t="s">
        <v>51</v>
      </c>
      <c r="B31" s="14" t="n">
        <v>1360</v>
      </c>
      <c r="C31" s="14" t="n">
        <v>19</v>
      </c>
      <c r="D31" s="14" t="n">
        <v>307</v>
      </c>
      <c r="E31" s="14" t="n">
        <v>2</v>
      </c>
      <c r="F31" s="6" t="n">
        <f aca="false">SUM(B31:E31)</f>
        <v>1688</v>
      </c>
    </row>
    <row r="32" customFormat="false" ht="15" hidden="false" customHeight="false" outlineLevel="0" collapsed="false">
      <c r="A32" s="4" t="s">
        <v>52</v>
      </c>
      <c r="B32" s="14" t="n">
        <v>840</v>
      </c>
      <c r="C32" s="14" t="n">
        <v>97</v>
      </c>
      <c r="D32" s="14" t="n">
        <v>238</v>
      </c>
      <c r="E32" s="14" t="n">
        <v>56</v>
      </c>
      <c r="F32" s="6" t="n">
        <f aca="false">SUM(B32:E32)</f>
        <v>1231</v>
      </c>
    </row>
    <row r="33" customFormat="false" ht="15" hidden="false" customHeight="false" outlineLevel="0" collapsed="false">
      <c r="A33" s="9" t="s">
        <v>53</v>
      </c>
      <c r="B33" s="14" t="n">
        <v>1470</v>
      </c>
      <c r="C33" s="14" t="n">
        <v>23</v>
      </c>
      <c r="D33" s="14" t="n">
        <v>96</v>
      </c>
      <c r="E33" s="14" t="n">
        <v>2970</v>
      </c>
      <c r="F33" s="6" t="n">
        <f aca="false">SUM(B33:E33)</f>
        <v>4559</v>
      </c>
    </row>
    <row r="34" customFormat="false" ht="15" hidden="false" customHeight="false" outlineLevel="0" collapsed="false">
      <c r="A34" s="4" t="s">
        <v>54</v>
      </c>
      <c r="B34" s="14" t="n">
        <v>1020</v>
      </c>
      <c r="C34" s="14" t="n">
        <v>118</v>
      </c>
      <c r="D34" s="14" t="n">
        <v>289</v>
      </c>
      <c r="E34" s="14" t="n">
        <v>68</v>
      </c>
      <c r="F34" s="6" t="n">
        <f aca="false">SUM(B34:E34)</f>
        <v>1495</v>
      </c>
    </row>
    <row r="35" customFormat="false" ht="15" hidden="false" customHeight="false" outlineLevel="0" collapsed="false">
      <c r="A35" s="15" t="s">
        <v>55</v>
      </c>
      <c r="B35" s="20" t="n">
        <f aca="false">(B29+B31+B33)-(B30+B32+B34)</f>
        <v>1880</v>
      </c>
      <c r="C35" s="20" t="n">
        <f aca="false">(C29+C31+C33)-(C30+C32+C34)</f>
        <v>-235</v>
      </c>
      <c r="D35" s="20" t="n">
        <f aca="false">(D29+D31+D33)-(D30+D32+D34)</f>
        <v>-134</v>
      </c>
      <c r="E35" s="20" t="n">
        <f aca="false">(E29+E31+E33)-(E30+E32+E34)</f>
        <v>2796</v>
      </c>
      <c r="F35" s="20" t="n">
        <f aca="false">(F29+F31+F33)-(F30+F32+F34)</f>
        <v>4307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1"/>
  </cols>
  <sheetData>
    <row r="1" customFormat="false" ht="15" hidden="false" customHeight="false" outlineLevel="0" collapsed="false">
      <c r="A1" s="13" t="s">
        <v>56</v>
      </c>
      <c r="B1" s="13"/>
      <c r="C1" s="13"/>
      <c r="D1" s="13"/>
      <c r="E1" s="13"/>
      <c r="F1" s="13"/>
    </row>
    <row r="3" customFormat="false" ht="15" hidden="false" customHeight="false" outlineLevel="0" collapsed="false">
      <c r="A3" s="3" t="s">
        <v>21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22</v>
      </c>
    </row>
    <row r="4" customFormat="false" ht="15" hidden="false" customHeight="false" outlineLevel="0" collapsed="false">
      <c r="A4" s="4" t="s">
        <v>23</v>
      </c>
      <c r="B4" s="14" t="n">
        <v>200</v>
      </c>
      <c r="C4" s="14" t="n">
        <v>180</v>
      </c>
      <c r="D4" s="14" t="n">
        <v>130</v>
      </c>
      <c r="E4" s="14" t="n">
        <v>195</v>
      </c>
      <c r="F4" s="6" t="n">
        <f aca="false">SUM(B4:E4)</f>
        <v>705</v>
      </c>
    </row>
    <row r="5" customFormat="false" ht="15" hidden="false" customHeight="false" outlineLevel="0" collapsed="false">
      <c r="A5" s="9" t="s">
        <v>24</v>
      </c>
      <c r="B5" s="14" t="n">
        <v>98</v>
      </c>
      <c r="C5" s="14" t="n">
        <v>80</v>
      </c>
      <c r="D5" s="14" t="n">
        <v>57</v>
      </c>
      <c r="E5" s="14" t="n">
        <v>116</v>
      </c>
      <c r="F5" s="6" t="n">
        <f aca="false">SUM(B5:E5)</f>
        <v>351</v>
      </c>
    </row>
    <row r="6" customFormat="false" ht="15" hidden="false" customHeight="false" outlineLevel="0" collapsed="false">
      <c r="A6" s="9" t="s">
        <v>25</v>
      </c>
      <c r="B6" s="14" t="n">
        <v>102</v>
      </c>
      <c r="C6" s="14" t="n">
        <v>100</v>
      </c>
      <c r="D6" s="14" t="n">
        <v>73</v>
      </c>
      <c r="E6" s="14" t="n">
        <v>79</v>
      </c>
      <c r="F6" s="6" t="n">
        <f aca="false">SUM(B6:E6)</f>
        <v>354</v>
      </c>
    </row>
    <row r="7" customFormat="false" ht="15" hidden="false" customHeight="false" outlineLevel="0" collapsed="false">
      <c r="A7" s="4" t="s">
        <v>26</v>
      </c>
      <c r="B7" s="14" t="n">
        <v>12</v>
      </c>
      <c r="C7" s="14" t="n">
        <v>26</v>
      </c>
      <c r="D7" s="14" t="n">
        <v>39</v>
      </c>
      <c r="E7" s="14" t="n">
        <v>48</v>
      </c>
      <c r="F7" s="6" t="n">
        <f aca="false">SUM(B7:E7)</f>
        <v>125</v>
      </c>
    </row>
    <row r="8" customFormat="false" ht="15" hidden="false" customHeight="false" outlineLevel="0" collapsed="false">
      <c r="A8" s="9" t="s">
        <v>24</v>
      </c>
      <c r="B8" s="14" t="n">
        <v>6</v>
      </c>
      <c r="C8" s="14" t="n">
        <v>10</v>
      </c>
      <c r="D8" s="14" t="n">
        <v>15</v>
      </c>
      <c r="E8" s="14" t="n">
        <v>19</v>
      </c>
      <c r="F8" s="6" t="n">
        <f aca="false">SUM(B8:E8)</f>
        <v>50</v>
      </c>
    </row>
    <row r="9" customFormat="false" ht="15" hidden="false" customHeight="false" outlineLevel="0" collapsed="false">
      <c r="A9" s="9" t="s">
        <v>25</v>
      </c>
      <c r="B9" s="14" t="n">
        <v>6</v>
      </c>
      <c r="C9" s="14" t="n">
        <v>16</v>
      </c>
      <c r="D9" s="14" t="n">
        <v>24</v>
      </c>
      <c r="E9" s="14" t="n">
        <v>29</v>
      </c>
      <c r="F9" s="6" t="n">
        <f aca="false">SUM(B9:E9)</f>
        <v>75</v>
      </c>
    </row>
    <row r="10" customFormat="false" ht="15" hidden="false" customHeight="false" outlineLevel="0" collapsed="false">
      <c r="A10" s="4" t="s">
        <v>27</v>
      </c>
      <c r="B10" s="14" t="n">
        <v>500</v>
      </c>
      <c r="C10" s="14" t="n">
        <v>600</v>
      </c>
      <c r="D10" s="14" t="n">
        <v>650</v>
      </c>
      <c r="E10" s="14" t="n">
        <v>600</v>
      </c>
      <c r="F10" s="6" t="n">
        <f aca="false">SUM(B10:E10)</f>
        <v>2350</v>
      </c>
    </row>
    <row r="11" customFormat="false" ht="15" hidden="false" customHeight="false" outlineLevel="0" collapsed="false">
      <c r="A11" s="9" t="s">
        <v>24</v>
      </c>
      <c r="B11" s="14" t="n">
        <v>300</v>
      </c>
      <c r="C11" s="14" t="n">
        <v>200</v>
      </c>
      <c r="D11" s="14" t="n">
        <v>475</v>
      </c>
      <c r="E11" s="14" t="n">
        <v>275</v>
      </c>
      <c r="F11" s="6" t="n">
        <f aca="false">SUM(B11:E11)</f>
        <v>1250</v>
      </c>
    </row>
    <row r="12" customFormat="false" ht="15" hidden="false" customHeight="false" outlineLevel="0" collapsed="false">
      <c r="A12" s="9" t="s">
        <v>25</v>
      </c>
      <c r="B12" s="14" t="n">
        <v>200</v>
      </c>
      <c r="C12" s="14" t="n">
        <v>400</v>
      </c>
      <c r="D12" s="14" t="n">
        <v>175</v>
      </c>
      <c r="E12" s="14" t="n">
        <v>325</v>
      </c>
      <c r="F12" s="6" t="n">
        <f aca="false">SUM(B12:E12)</f>
        <v>1100</v>
      </c>
    </row>
    <row r="13" customFormat="false" ht="15" hidden="false" customHeight="false" outlineLevel="0" collapsed="false">
      <c r="A13" s="4" t="s">
        <v>28</v>
      </c>
      <c r="B13" s="14" t="n">
        <v>75</v>
      </c>
      <c r="C13" s="14" t="n">
        <v>105</v>
      </c>
      <c r="D13" s="14" t="n">
        <v>340</v>
      </c>
      <c r="E13" s="14" t="n">
        <v>50</v>
      </c>
      <c r="F13" s="6" t="n">
        <f aca="false">SUM(B13:E13)</f>
        <v>570</v>
      </c>
    </row>
    <row r="14" customFormat="false" ht="15" hidden="false" customHeight="false" outlineLevel="0" collapsed="false">
      <c r="A14" s="9" t="s">
        <v>24</v>
      </c>
      <c r="B14" s="14" t="n">
        <v>0</v>
      </c>
      <c r="C14" s="14" t="n">
        <v>25</v>
      </c>
      <c r="D14" s="14" t="n">
        <v>255</v>
      </c>
      <c r="E14" s="14" t="n">
        <v>50</v>
      </c>
      <c r="F14" s="6" t="n">
        <f aca="false">SUM(B14:E14)</f>
        <v>330</v>
      </c>
    </row>
    <row r="15" customFormat="false" ht="15" hidden="false" customHeight="false" outlineLevel="0" collapsed="false">
      <c r="A15" s="9" t="s">
        <v>25</v>
      </c>
      <c r="B15" s="14" t="n">
        <v>75</v>
      </c>
      <c r="C15" s="14" t="n">
        <v>80</v>
      </c>
      <c r="D15" s="14" t="n">
        <v>85</v>
      </c>
      <c r="E15" s="14" t="n">
        <v>0</v>
      </c>
      <c r="F15" s="6" t="n">
        <f aca="false">SUM(B15:E15)</f>
        <v>240</v>
      </c>
    </row>
    <row r="16" customFormat="false" ht="15" hidden="false" customHeight="false" outlineLevel="0" collapsed="false">
      <c r="A16" s="15" t="s">
        <v>22</v>
      </c>
      <c r="B16" s="16" t="n">
        <f aca="false">SUM(B14,B11,B8,B5)</f>
        <v>404</v>
      </c>
      <c r="C16" s="16" t="n">
        <f aca="false">SUM(C14,C11,C8,C5)</f>
        <v>315</v>
      </c>
      <c r="D16" s="16" t="n">
        <f aca="false">SUM(D14,D11,D8,D5)</f>
        <v>802</v>
      </c>
      <c r="E16" s="16" t="n">
        <f aca="false">SUM(E14,E11,E8,E5)</f>
        <v>460</v>
      </c>
      <c r="F16" s="16" t="n">
        <f aca="false">SUM(F14,F11,F8,F5)</f>
        <v>1981</v>
      </c>
    </row>
    <row r="19" customFormat="false" ht="15" hidden="false" customHeight="false" outlineLevel="0" collapsed="false">
      <c r="A19" s="8" t="s">
        <v>29</v>
      </c>
    </row>
    <row r="20" customFormat="false" ht="15" hidden="false" customHeight="false" outlineLevel="0" collapsed="false">
      <c r="B20" s="17" t="s">
        <v>3</v>
      </c>
      <c r="E20" s="17" t="s">
        <v>4</v>
      </c>
      <c r="H20" s="17" t="s">
        <v>5</v>
      </c>
      <c r="K20" s="17" t="s">
        <v>6</v>
      </c>
    </row>
    <row r="21" customFormat="false" ht="15" hidden="false" customHeight="false" outlineLevel="0" collapsed="false">
      <c r="A21" s="4" t="s">
        <v>30</v>
      </c>
      <c r="B21" s="18" t="s">
        <v>31</v>
      </c>
      <c r="C21" s="18" t="s">
        <v>32</v>
      </c>
      <c r="D21" s="18" t="s">
        <v>33</v>
      </c>
      <c r="E21" s="18" t="s">
        <v>34</v>
      </c>
      <c r="F21" s="18" t="s">
        <v>35</v>
      </c>
      <c r="G21" s="18" t="s">
        <v>36</v>
      </c>
      <c r="H21" s="18" t="s">
        <v>37</v>
      </c>
      <c r="I21" s="18" t="s">
        <v>38</v>
      </c>
      <c r="J21" s="18" t="s">
        <v>39</v>
      </c>
      <c r="K21" s="18" t="s">
        <v>40</v>
      </c>
      <c r="L21" s="18" t="s">
        <v>41</v>
      </c>
      <c r="M21" s="18" t="s">
        <v>42</v>
      </c>
    </row>
    <row r="22" customFormat="false" ht="15" hidden="false" customHeight="false" outlineLevel="0" collapsed="false">
      <c r="A22" s="9" t="s">
        <v>43</v>
      </c>
      <c r="B22" s="14" t="n">
        <v>1980000</v>
      </c>
      <c r="C22" s="14" t="n">
        <v>2110000</v>
      </c>
      <c r="D22" s="14" t="n">
        <v>2560000</v>
      </c>
      <c r="E22" s="14" t="n">
        <v>2540000</v>
      </c>
      <c r="F22" s="14" t="n">
        <v>2450000</v>
      </c>
      <c r="G22" s="14" t="n">
        <v>1700000</v>
      </c>
      <c r="H22" s="14" t="n">
        <v>1680000</v>
      </c>
      <c r="I22" s="14" t="n">
        <v>1615000</v>
      </c>
      <c r="J22" s="14" t="n">
        <v>2225000</v>
      </c>
      <c r="K22" s="14" t="n">
        <v>3125000</v>
      </c>
      <c r="L22" s="14" t="n">
        <v>3425000</v>
      </c>
      <c r="M22" s="14" t="n">
        <v>2745000</v>
      </c>
    </row>
    <row r="23" customFormat="false" ht="15" hidden="false" customHeight="false" outlineLevel="0" collapsed="false">
      <c r="A23" s="9" t="s">
        <v>44</v>
      </c>
      <c r="B23" s="7" t="n">
        <f aca="false">B22/SUM(B22:D22)</f>
        <v>0.297744360902256</v>
      </c>
      <c r="C23" s="7" t="n">
        <f aca="false">C22/SUM(B22:D22)</f>
        <v>0.317293233082707</v>
      </c>
      <c r="D23" s="7" t="n">
        <f aca="false">D22/SUM(B22:D22)</f>
        <v>0.384962406015038</v>
      </c>
      <c r="E23" s="7" t="n">
        <f aca="false">E22/SUM(E22:G22)</f>
        <v>0.379671150971599</v>
      </c>
      <c r="F23" s="7" t="n">
        <f aca="false">F22/SUM(E22:G22)</f>
        <v>0.366218236173393</v>
      </c>
      <c r="G23" s="7" t="n">
        <f aca="false">G22/SUM(E22:G22)</f>
        <v>0.254110612855007</v>
      </c>
      <c r="H23" s="7" t="n">
        <f aca="false">H22/SUM(H22:J22)</f>
        <v>0.304347826086957</v>
      </c>
      <c r="I23" s="7" t="n">
        <f aca="false">I22/SUM(H22:J22)</f>
        <v>0.292572463768116</v>
      </c>
      <c r="J23" s="7" t="n">
        <f aca="false">J22/SUM(H22:J22)</f>
        <v>0.403079710144928</v>
      </c>
      <c r="K23" s="7" t="n">
        <f aca="false">K22/SUM(K22:M22)</f>
        <v>0.336202259279182</v>
      </c>
      <c r="L23" s="7" t="n">
        <f aca="false">L22/SUM(K22:M22)</f>
        <v>0.368477676169984</v>
      </c>
      <c r="M23" s="7" t="n">
        <f aca="false">M22/SUM(K22:M22)</f>
        <v>0.295320064550834</v>
      </c>
    </row>
    <row r="24" customFormat="false" ht="15" hidden="false" customHeight="false" outlineLevel="0" collapsed="false">
      <c r="A24" s="4" t="s">
        <v>57</v>
      </c>
      <c r="B24" s="19" t="n">
        <f aca="false">$B$16*B23</f>
        <v>120.288721804511</v>
      </c>
      <c r="C24" s="19" t="n">
        <f aca="false">$B$16*C23</f>
        <v>128.186466165414</v>
      </c>
      <c r="D24" s="19" t="n">
        <f aca="false">$B$16*D23</f>
        <v>155.524812030075</v>
      </c>
      <c r="E24" s="19" t="n">
        <f aca="false">$C$16*E23</f>
        <v>119.596412556054</v>
      </c>
      <c r="F24" s="19" t="n">
        <f aca="false">$C$16*F23</f>
        <v>115.358744394619</v>
      </c>
      <c r="G24" s="19" t="n">
        <f aca="false">$C$16*G23</f>
        <v>80.0448430493274</v>
      </c>
      <c r="H24" s="19" t="n">
        <f aca="false">$D$16*H23</f>
        <v>244.086956521739</v>
      </c>
      <c r="I24" s="19" t="n">
        <f aca="false">$D$16*I23</f>
        <v>234.643115942029</v>
      </c>
      <c r="J24" s="19" t="n">
        <f aca="false">$D$16*J23</f>
        <v>323.269927536232</v>
      </c>
      <c r="K24" s="19" t="n">
        <f aca="false">$E$16*K23</f>
        <v>154.653039268424</v>
      </c>
      <c r="L24" s="19" t="n">
        <f aca="false">$E$16*L23</f>
        <v>169.499731038193</v>
      </c>
      <c r="M24" s="19" t="n">
        <f aca="false">$E$16*M23</f>
        <v>135.847229693384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21" t="s">
        <v>58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22" t="s">
        <v>59</v>
      </c>
    </row>
    <row r="4" customFormat="false" ht="15" hidden="false" customHeight="false" outlineLevel="0" collapsed="false">
      <c r="A4" s="9" t="s">
        <v>60</v>
      </c>
    </row>
    <row r="5" customFormat="false" ht="15" hidden="false" customHeight="false" outlineLevel="0" collapsed="false">
      <c r="A5" s="9" t="s">
        <v>61</v>
      </c>
    </row>
    <row r="6" customFormat="false" ht="15" hidden="false" customHeight="false" outlineLevel="0" collapsed="false">
      <c r="A6" s="9" t="s">
        <v>62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22" t="s">
        <v>63</v>
      </c>
    </row>
    <row r="9" customFormat="false" ht="15" hidden="false" customHeight="false" outlineLevel="0" collapsed="false">
      <c r="A9" s="9" t="s">
        <v>64</v>
      </c>
    </row>
    <row r="10" customFormat="false" ht="15" hidden="false" customHeight="false" outlineLevel="0" collapsed="false">
      <c r="A10" s="9" t="s">
        <v>65</v>
      </c>
    </row>
    <row r="11" customFormat="false" ht="15" hidden="false" customHeight="false" outlineLevel="0" collapsed="false">
      <c r="A11" s="9" t="s">
        <v>66</v>
      </c>
    </row>
    <row r="12" customFormat="false" ht="15" hidden="false" customHeight="false" outlineLevel="0" collapsed="false">
      <c r="A12" s="9" t="s">
        <v>67</v>
      </c>
    </row>
    <row r="13" customFormat="false" ht="15" hidden="false" customHeight="false" outlineLevel="0" collapsed="false">
      <c r="A13" s="9" t="s">
        <v>68</v>
      </c>
    </row>
    <row r="14" customFormat="false" ht="15" hidden="false" customHeight="false" outlineLevel="0" collapsed="false">
      <c r="A14" s="9" t="s">
        <v>69</v>
      </c>
    </row>
    <row r="15" customFormat="false" ht="15" hidden="false" customHeight="false" outlineLevel="0" collapsed="false">
      <c r="A15" s="9" t="s">
        <v>70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22" t="s">
        <v>71</v>
      </c>
    </row>
    <row r="18" customFormat="false" ht="15" hidden="false" customHeight="false" outlineLevel="0" collapsed="false">
      <c r="A18" s="9" t="s">
        <v>72</v>
      </c>
    </row>
    <row r="19" customFormat="false" ht="15" hidden="false" customHeight="false" outlineLevel="0" collapsed="false">
      <c r="A19" s="9" t="s">
        <v>73</v>
      </c>
    </row>
    <row r="20" customFormat="false" ht="15" hidden="false" customHeight="false" outlineLevel="0" collapsed="false">
      <c r="A20" s="9" t="s">
        <v>74</v>
      </c>
    </row>
    <row r="21" customFormat="false" ht="15" hidden="false" customHeight="false" outlineLevel="0" collapsed="false">
      <c r="A21" s="9" t="s">
        <v>75</v>
      </c>
    </row>
    <row r="22" customFormat="false" ht="15" hidden="false" customHeight="false" outlineLevel="0" collapsed="false">
      <c r="A22" s="9"/>
    </row>
    <row r="23" customFormat="false" ht="15" hidden="false" customHeight="false" outlineLevel="0" collapsed="false">
      <c r="A23" s="22" t="s">
        <v>76</v>
      </c>
    </row>
    <row r="24" customFormat="false" ht="15" hidden="false" customHeight="false" outlineLevel="0" collapsed="false">
      <c r="A24" s="9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2026-07-01T19:44:30Z</dcterms:created>
  <dc:creator>openpyxl</dc:creator>
  <dc:description/>
  <dc:language>en-US</dc:language>
  <cp:lastModifiedBy/>
  <dcterms:modified xsi:type="dcterms:W3CDTF">2026-07-01T19:45:16Z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